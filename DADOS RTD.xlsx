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_TRADE\"/>
    </mc:Choice>
  </mc:AlternateContent>
  <xr:revisionPtr revIDLastSave="0" documentId="8_{F30A257E-CDEB-44A2-BCDB-138B220D90C3}" xr6:coauthVersionLast="47" xr6:coauthVersionMax="47" xr10:uidLastSave="{00000000-0000-0000-0000-000000000000}"/>
  <bookViews>
    <workbookView xWindow="-120" yWindow="-120" windowWidth="20730" windowHeight="11160" xr2:uid="{1ABECFA5-74B2-4EEB-8AE9-8BDC0CDC14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</calcChain>
</file>

<file path=xl/sharedStrings.xml><?xml version="1.0" encoding="utf-8"?>
<sst xmlns="http://schemas.openxmlformats.org/spreadsheetml/2006/main" count="29" uniqueCount="29">
  <si>
    <t>Asset</t>
  </si>
  <si>
    <t>Data</t>
  </si>
  <si>
    <t>Hora</t>
  </si>
  <si>
    <t>Último</t>
  </si>
  <si>
    <t>Abertura</t>
  </si>
  <si>
    <t>Máximo</t>
  </si>
  <si>
    <t>Mínimo</t>
  </si>
  <si>
    <t>Fechamento Anterior</t>
  </si>
  <si>
    <t>Variação</t>
  </si>
  <si>
    <t>Variação(pts)</t>
  </si>
  <si>
    <t>Negócios</t>
  </si>
  <si>
    <t>QUL</t>
  </si>
  <si>
    <t>Quantidade</t>
  </si>
  <si>
    <t>Volume</t>
  </si>
  <si>
    <t>Of. Compra</t>
  </si>
  <si>
    <t>Of. Venda</t>
  </si>
  <si>
    <t>VOC</t>
  </si>
  <si>
    <t>VOV</t>
  </si>
  <si>
    <t>Ajuste</t>
  </si>
  <si>
    <t>Aj. Anterior</t>
  </si>
  <si>
    <t>IFR (RSI)</t>
  </si>
  <si>
    <t>coleta_bid_ask</t>
  </si>
  <si>
    <t>PHANTOM_Data_Scanner</t>
  </si>
  <si>
    <t>super_dom</t>
  </si>
  <si>
    <t>Prior Cote Ajuste</t>
  </si>
  <si>
    <t>TR - Saldo Acumulado de Agressão</t>
  </si>
  <si>
    <t>TR - Volume de Agressão - Saldo</t>
  </si>
  <si>
    <t>VWAP</t>
  </si>
  <si>
    <t>[R] WINJ26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</si>
</sst>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DF33B9-B398-4E62-9162-E5381298A8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s">
        <v>29.021,67 29.021,67</v>
        <stp/>
        <stp>WINJ26_G_0</stp>
        <stp>101_super_dom</stp>
        <tr r="X2" s="1"/>
      </tp>
      <tp>
        <v>186850</v>
        <stp/>
        <stp>WINJ26_G_0</stp>
        <stp>FEC</stp>
        <tr r="H2" s="1"/>
      </tp>
      <tp t="s">
        <v>26/03/2026</v>
        <stp/>
        <stp>WINJ26_G_0</stp>
        <stp>DAT</stp>
        <tr r="B2" s="1"/>
      </tp>
      <tp t="s">
        <v>50,20</v>
        <stp/>
        <stp>WINJ26_G_0</stp>
        <stp>1</stp>
        <tr r="U2" s="1"/>
      </tp>
      <tp>
        <v>184895</v>
        <stp/>
        <stp>WINJ26_G_0</stp>
        <stp>ABE</stp>
        <tr r="E2" s="1"/>
      </tp>
      <tp>
        <v>186919</v>
        <stp/>
        <stp>WINJ26_G_0</stp>
        <stp>AJA</stp>
        <tr r="T2" s="1"/>
      </tp>
      <tp>
        <v>0</v>
        <stp/>
        <stp>WINJ26_G_0</stp>
        <stp>AJU</stp>
        <tr r="S2" s="1"/>
      </tp>
      <tp>
        <v>184770</v>
        <stp/>
        <stp>WINJ26_G_0</stp>
        <stp>OCP</stp>
        <tr r="O2" s="1"/>
      </tp>
      <tp>
        <v>184775</v>
        <stp/>
        <stp>WINJ26_G_0</stp>
        <stp>OVD</stp>
        <tr r="P2" s="1"/>
      </tp>
      <tp>
        <v>384239</v>
        <stp/>
        <stp>WINJ26_G_0</stp>
        <stp>NEG</stp>
        <tr r="K2" s="1"/>
      </tp>
      <tp>
        <v>185355</v>
        <stp/>
        <stp>WINJ26_G_0</stp>
        <stp>MAX</stp>
        <tr r="F2" s="1"/>
      </tp>
      <tp>
        <v>183995</v>
        <stp/>
        <stp>WINJ26_G_0</stp>
        <stp>MIN</stp>
        <tr r="G2" s="1"/>
      </tp>
      <tp t="s">
        <v>09:14:28</v>
        <stp/>
        <stp>WINJ26_G_0</stp>
        <stp>HOR</stp>
        <tr r="C2" s="1"/>
      </tp>
      <tp>
        <v>-2075</v>
        <stp/>
        <stp>WINJ26_G_0</stp>
        <stp>VARPTS</stp>
        <tr r="J2" s="1"/>
      </tp>
      <tp>
        <v>-1.1105164570511104</v>
        <stp/>
        <stp>WINJ26_G_0</stp>
        <stp>VAR</stp>
        <tr r="I2" s="1"/>
      </tp>
      <tp>
        <v>23</v>
        <stp/>
        <stp>WINJ26_G_0</stp>
        <stp>VOC</stp>
        <tr r="Q2" s="1"/>
      </tp>
      <tp>
        <v>33888323818</v>
        <stp/>
        <stp>WINJ26_G_0</stp>
        <stp>VOL</stp>
        <tr r="N2" s="1"/>
      </tp>
      <tp>
        <v>101</v>
        <stp/>
        <stp>WINJ26_G_0</stp>
        <stp>VOV</stp>
        <tr r="R2" s="1"/>
      </tp>
      <tp>
        <v>184775</v>
        <stp/>
        <stp>WINJ26_G_0</stp>
        <stp>ULT</stp>
        <tr r="D2" s="1"/>
      </tp>
      <tp>
        <v>916962</v>
        <stp/>
        <stp>WINJ26_G_0</stp>
        <stp>QTT</stp>
        <tr r="M2" s="1"/>
      </tp>
      <tp>
        <v>3</v>
        <stp/>
        <stp>WINJ26_G_0</stp>
        <stp>QUL</stp>
        <tr r="L2" s="1"/>
      </tp>
      <tp t="s">
        <v>184.770,00 184.775,00</v>
        <stp/>
        <stp>WINJ26_G_0</stp>
        <stp>101_coleta_bid_ask</stp>
        <tr r="V2" s="1"/>
      </tp>
      <tp t="s">
        <v>-21.493,00</v>
        <stp/>
        <stp>WINJ26_G_0</stp>
        <stp>103</stp>
        <tr r="Z2" s="1"/>
      </tp>
      <tp t="s">
        <v>-21.493</v>
        <stp/>
        <stp>WINJ26_G_0</stp>
        <stp>100</stp>
        <tr r="AA2" s="1"/>
      </tp>
      <tp t="s">
        <v>177.474,00</v>
        <stp/>
        <stp>WINJ26_G_0</stp>
        <stp>190</stp>
        <tr r="Y2" s="1"/>
      </tp>
      <tp t="s">
        <v>-21.493,00 21,78 -0,09 -78,00 186.850,00 55,41</v>
        <stp/>
        <stp>WINJ26_G_0</stp>
        <stp>101_PHANTOM_Data_Scanner</stp>
        <tr r="W2" s="1"/>
      </tp>
      <tp t="s">
        <v>184.786</v>
        <stp/>
        <stp>WINJ26_G_0</stp>
        <stp>67</stp>
        <tr r="AB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7839-C549-4148-BD10-0687CA518EE4}">
  <dimension ref="A1:AB2"/>
  <sheetViews>
    <sheetView tabSelected="1" workbookViewId="0">
      <selection sqref="A1:AB2"/>
    </sheetView>
  </sheetViews>
  <sheetFormatPr defaultRowHeight="15" x14ac:dyDescent="0.25"/>
  <cols>
    <col min="13" max="13" width="11" customWidth="1"/>
    <col min="14" max="14" width="18" customWidth="1"/>
    <col min="20" max="20" width="17.28515625" customWidth="1"/>
    <col min="21" max="21" width="11.140625" customWidth="1"/>
    <col min="22" max="22" width="22.28515625" customWidth="1"/>
    <col min="23" max="23" width="45.7109375" customWidth="1"/>
    <col min="24" max="24" width="22.5703125" customWidth="1"/>
    <col min="25" max="25" width="14" customWidth="1"/>
    <col min="26" max="26" width="17.42578125" customWidth="1"/>
    <col min="27" max="27" width="19" customWidth="1"/>
    <col min="28" max="28" width="9.71093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tr">
        <f>RTD("rtdtrading.rtdserver",, "WINJ26_G_0", "DAT")</f>
        <v>26/03/2026</v>
      </c>
      <c r="C2" t="str">
        <f>RTD("rtdtrading.rtdserver",, "WINJ26_G_0", "HOR")</f>
        <v>09:14:28</v>
      </c>
      <c r="D2">
        <f>RTD("rtdtrading.rtdserver",, "WINJ26_G_0", "ULT")</f>
        <v>184775</v>
      </c>
      <c r="E2">
        <f>RTD("rtdtrading.rtdserver",, "WINJ26_G_0", "ABE")</f>
        <v>184895</v>
      </c>
      <c r="F2">
        <f>RTD("rtdtrading.rtdserver",, "WINJ26_G_0", "MAX")</f>
        <v>185355</v>
      </c>
      <c r="G2">
        <f>RTD("rtdtrading.rtdserver",, "WINJ26_G_0", "MIN")</f>
        <v>183995</v>
      </c>
      <c r="H2">
        <f>RTD("rtdtrading.rtdserver",, "WINJ26_G_0", "FEC")</f>
        <v>186850</v>
      </c>
      <c r="I2">
        <f>RTD("rtdtrading.rtdserver",, "WINJ26_G_0", "VAR")</f>
        <v>-1.1105164570511104</v>
      </c>
      <c r="J2">
        <f>RTD("rtdtrading.rtdserver",, "WINJ26_G_0", "VARPTS")</f>
        <v>-2075</v>
      </c>
      <c r="K2">
        <f>RTD("rtdtrading.rtdserver",, "WINJ26_G_0", "NEG")</f>
        <v>384239</v>
      </c>
      <c r="L2">
        <f>RTD("rtdtrading.rtdserver",, "WINJ26_G_0", "QUL")</f>
        <v>3</v>
      </c>
      <c r="M2">
        <f>RTD("rtdtrading.rtdserver",, "WINJ26_G_0", "QTT")</f>
        <v>916962</v>
      </c>
      <c r="N2">
        <f>RTD("rtdtrading.rtdserver",, "WINJ26_G_0", "VOL")</f>
        <v>33888323818</v>
      </c>
      <c r="O2">
        <f>RTD("rtdtrading.rtdserver",, "WINJ26_G_0", "OCP")</f>
        <v>184770</v>
      </c>
      <c r="P2">
        <f>RTD("rtdtrading.rtdserver",, "WINJ26_G_0", "OVD")</f>
        <v>184775</v>
      </c>
      <c r="Q2">
        <f>RTD("rtdtrading.rtdserver",, "WINJ26_G_0", "VOC")</f>
        <v>23</v>
      </c>
      <c r="R2">
        <f>RTD("rtdtrading.rtdserver",, "WINJ26_G_0", "VOV")</f>
        <v>101</v>
      </c>
      <c r="S2">
        <f>RTD("rtdtrading.rtdserver",, "WINJ26_G_0", "AJU")</f>
        <v>0</v>
      </c>
      <c r="T2">
        <f>RTD("rtdtrading.rtdserver",, "WINJ26_G_0", "AJA")</f>
        <v>186919</v>
      </c>
      <c r="U2" t="str">
        <f>RTD("rtdtrading.rtdserver",, "WINJ26_G_0", "1")</f>
        <v>50,20</v>
      </c>
      <c r="V2" t="str">
        <f>RTD("rtdtrading.rtdserver",, "WINJ26_G_0", "101_coleta_bid_ask")</f>
        <v>184.770,00 184.775,00</v>
      </c>
      <c r="W2" t="str">
        <f>RTD("rtdtrading.rtdserver",, "WINJ26_G_0", "101_PHANTOM_Data_Scanner")</f>
        <v>-21.493,00 21,78 -0,09 -78,00 186.850,00 55,41</v>
      </c>
      <c r="X2" t="str">
        <f>RTD("rtdtrading.rtdserver",, "WINJ26_G_0", "101_super_dom")</f>
        <v>29.021,67 29.021,67</v>
      </c>
      <c r="Y2" t="str">
        <f>RTD("rtdtrading.rtdserver",, "WINJ26_G_0", "190")</f>
        <v>177.474,00</v>
      </c>
      <c r="Z2" t="str">
        <f>RTD("rtdtrading.rtdserver",, "WINJ26_G_0", "103")</f>
        <v>-21.493,00</v>
      </c>
      <c r="AA2" t="str">
        <f>RTD("rtdtrading.rtdserver",, "WINJ26_G_0", "100")</f>
        <v>-21.493</v>
      </c>
      <c r="AB2" t="str">
        <f>RTD("rtdtrading.rtdserver",, "WINJ26_G_0", "67")</f>
        <v>184.786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2026-03-29T12:33:07Z</dcterms:created>
  <dcterms:modified xsi:type="dcterms:W3CDTF">2026-03-29T12:44:56Z</dcterms:modified>
</cp:coreProperties>
</file>